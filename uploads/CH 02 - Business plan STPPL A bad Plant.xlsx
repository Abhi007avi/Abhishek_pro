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activeTab="3"/>
  </bookViews>
  <sheets>
    <sheet sheetId="1" name="Business Plan fy 19~20" state="hidden" r:id="rId4"/>
    <sheet sheetId="2" name="Sale plan" state="hidden" r:id="rId5"/>
    <sheet sheetId="3" name="Business plan 21~22" state="hidden" r:id="rId6"/>
    <sheet sheetId="5" name="Business plan" state="visible" r:id="rId7"/>
    <sheet sheetId="6" name="Proposed Sale plan fy 22~23 " state="hidden" r:id="rId8"/>
    <sheet sheetId="7" name="Business plan 23~24 " state="hidden" r:id="rId9"/>
  </sheets>
  <definedNames>
    <definedName name="_xlnm.Print_Area" localSheetId="3">'Business plan'!$A3:$K37</definedName>
  </definedNames>
  <calcPr calcId="171027"/>
</workbook>
</file>

<file path=xl/sharedStrings.xml><?xml version="1.0" encoding="utf-8"?>
<sst xmlns="http://schemas.openxmlformats.org/spreadsheetml/2006/main" count="310" uniqueCount="162">
  <si>
    <t>Master Copy</t>
  </si>
  <si>
    <t>Business plan of Sanjay technoplast Pvt ltd(GN)</t>
  </si>
  <si>
    <t>S No.</t>
  </si>
  <si>
    <t>Description</t>
  </si>
  <si>
    <t>UNIT</t>
  </si>
  <si>
    <t>2016~17</t>
  </si>
  <si>
    <t>2017~18</t>
  </si>
  <si>
    <t>2018~19</t>
  </si>
  <si>
    <t>2019~20</t>
  </si>
  <si>
    <t>Turn over</t>
  </si>
  <si>
    <t>Rs in Lac</t>
  </si>
  <si>
    <t>Gross Profit</t>
  </si>
  <si>
    <t>In %</t>
  </si>
  <si>
    <t>Rs In lac</t>
  </si>
  <si>
    <t>Net Profit</t>
  </si>
  <si>
    <t>%</t>
  </si>
  <si>
    <t>ITR</t>
  </si>
  <si>
    <t>Ratio</t>
  </si>
  <si>
    <t>IATF 16949 certification</t>
  </si>
  <si>
    <t>Surveilance audit</t>
  </si>
  <si>
    <t>Survilance audit</t>
  </si>
  <si>
    <t>Development Budget</t>
  </si>
  <si>
    <t>Training hrs/year/employee</t>
  </si>
  <si>
    <t>Hrs</t>
  </si>
  <si>
    <t>Safety(Accidents)</t>
  </si>
  <si>
    <t>Nos</t>
  </si>
  <si>
    <t>OEE</t>
  </si>
  <si>
    <t>COPQ</t>
  </si>
  <si>
    <t>CSS index</t>
  </si>
  <si>
    <t>Future plans</t>
  </si>
  <si>
    <t>Activity</t>
  </si>
  <si>
    <t>Targets Dates 2019~20</t>
  </si>
  <si>
    <t>To add IMM SM 180</t>
  </si>
  <si>
    <t>Sep,19 for YCA Cap,ERAE plugs</t>
  </si>
  <si>
    <t>Tool refurbishment</t>
  </si>
  <si>
    <t>Oct'19 completion date</t>
  </si>
  <si>
    <t>To get YNC business from mahle</t>
  </si>
  <si>
    <t>Dec'19 Final trial date</t>
  </si>
  <si>
    <t>to get YCA cap business from mahle</t>
  </si>
  <si>
    <t>Nov'19</t>
  </si>
  <si>
    <t>April'19</t>
  </si>
  <si>
    <t>May'19</t>
  </si>
  <si>
    <t>June'19</t>
  </si>
  <si>
    <t>July'19</t>
  </si>
  <si>
    <t>August'19</t>
  </si>
  <si>
    <t>Sep'19</t>
  </si>
  <si>
    <t>Oct'19</t>
  </si>
  <si>
    <t>Dec'19</t>
  </si>
  <si>
    <t>Jan'20</t>
  </si>
  <si>
    <t>Feb'20</t>
  </si>
  <si>
    <t>March'20</t>
  </si>
  <si>
    <t>Total</t>
  </si>
  <si>
    <t>Projected sale plan</t>
  </si>
  <si>
    <t>Business plan of Sanjay Techno Plast Pvt Ltd. (GN)</t>
  </si>
  <si>
    <t>S. No.</t>
  </si>
  <si>
    <t>2020~21</t>
  </si>
  <si>
    <t>2021~22</t>
  </si>
  <si>
    <t>Re- certification</t>
  </si>
  <si>
    <t>Targets  - 2021~22</t>
  </si>
  <si>
    <t>450,550T,850T IMM need to add</t>
  </si>
  <si>
    <t>For up coming YWD(MSIL/Mahle) projects</t>
  </si>
  <si>
    <t>MINI DOJO implementation-MSIL REQUIREMENT</t>
  </si>
  <si>
    <t>Feb'22 completion date</t>
  </si>
  <si>
    <t>To get Green status(&gt;75% mark's) TOOL Audit from MSIL</t>
  </si>
  <si>
    <t>March'22 Final trial date</t>
  </si>
  <si>
    <t>To get FORCE tanks business from Mahle</t>
  </si>
  <si>
    <t>Oct,21</t>
  </si>
  <si>
    <t>To achive Green status(100%) marks in MSIL FRA audit</t>
  </si>
  <si>
    <t>Feb'22</t>
  </si>
  <si>
    <t>To get ALN FSM business from Mahle</t>
  </si>
  <si>
    <t xml:space="preserve">March'22 </t>
  </si>
  <si>
    <t>STPPL</t>
  </si>
  <si>
    <t>Bussiness Plan</t>
  </si>
  <si>
    <t>STPPL/MR/CH/07</t>
  </si>
  <si>
    <t>Rev. No.: 01</t>
  </si>
  <si>
    <t>Rev. date: 01.02.2025</t>
  </si>
  <si>
    <t>Page: 01 of 01</t>
  </si>
  <si>
    <t>Sr. No.</t>
  </si>
  <si>
    <t>Plan / Actual</t>
  </si>
  <si>
    <t>2022 ~ 2023</t>
  </si>
  <si>
    <t>2023 ~ 2024</t>
  </si>
  <si>
    <t>2024 ~ 2025</t>
  </si>
  <si>
    <t>2025 ~ 2026</t>
  </si>
  <si>
    <t>2026 ~ 2027</t>
  </si>
  <si>
    <t>2027 ~ 2028</t>
  </si>
  <si>
    <t>2028 ~ 2029</t>
  </si>
  <si>
    <t>Bussiness plan (Turn over)</t>
  </si>
  <si>
    <t>P</t>
  </si>
  <si>
    <t xml:space="preserve">100 cr </t>
  </si>
  <si>
    <t xml:space="preserve">120cr </t>
  </si>
  <si>
    <t xml:space="preserve">150cr </t>
  </si>
  <si>
    <t>180cr</t>
  </si>
  <si>
    <t>Rs in cr.</t>
  </si>
  <si>
    <t>A</t>
  </si>
  <si>
    <t>73.08 Till 31 Jan</t>
  </si>
  <si>
    <t>Bussiness plan (Net Profit)</t>
  </si>
  <si>
    <t>2.09  YTD</t>
  </si>
  <si>
    <t>2.53  YTD</t>
  </si>
  <si>
    <t>-</t>
  </si>
  <si>
    <t>Inclusion of new customer's</t>
  </si>
  <si>
    <t>---</t>
  </si>
  <si>
    <t>Bussiness diversification plan</t>
  </si>
  <si>
    <t>We will continue with existing bussiness stream</t>
  </si>
  <si>
    <t>Nos / details</t>
  </si>
  <si>
    <t>System Certification</t>
  </si>
  <si>
    <t xml:space="preserve">ZED Gold for sister company (M31/32, M108 ZED certification.) </t>
  </si>
  <si>
    <t>'---</t>
  </si>
  <si>
    <t xml:space="preserve">ISO14000 </t>
  </si>
  <si>
    <t>----</t>
  </si>
  <si>
    <t>ZED</t>
  </si>
  <si>
    <t>ISO 50001 EnMS</t>
  </si>
  <si>
    <t>ISO 9001 &amp; IATF 16949</t>
  </si>
  <si>
    <t>Technology upgradation / New</t>
  </si>
  <si>
    <t>1400T m/c and 850T m/c</t>
  </si>
  <si>
    <t>Automised material filling, Vision based quality management.</t>
  </si>
  <si>
    <t>1 / Verticle mldg m/c</t>
  </si>
  <si>
    <t>3D prntg, VMM &amp; laser etching</t>
  </si>
  <si>
    <t>Continual improvement projects</t>
  </si>
  <si>
    <t xml:space="preserve">1/ EV transport vehicle. Robotic for 1400T m/c, QR scanner integration for reusable tranportation bins. </t>
  </si>
  <si>
    <t xml:space="preserve">5 moulding m/c with robotic arm integration or automization </t>
  </si>
  <si>
    <t>1 / Solar grid - 6 KWh</t>
  </si>
  <si>
    <t>1 / Solar grid -130 KWh</t>
  </si>
  <si>
    <t>2 / EV introduced</t>
  </si>
  <si>
    <t>It is a development budget allocations as per actions planned in business plan and it is continually live and roll over</t>
  </si>
  <si>
    <t>Inventory Turn Ration (ITR)</t>
  </si>
  <si>
    <t>Cost Of Poor Quality (COPQ)</t>
  </si>
  <si>
    <t>Customer Satisfaction Index (CSI)</t>
  </si>
  <si>
    <t>Continual improvement (Small)</t>
  </si>
  <si>
    <t>New 10 LCA</t>
  </si>
  <si>
    <t>10 LCA</t>
  </si>
  <si>
    <t>4 LCA projects</t>
  </si>
  <si>
    <t>Training hrs/employee/month</t>
  </si>
  <si>
    <t>15.24  YTD</t>
  </si>
  <si>
    <t>Safety (Accidents)</t>
  </si>
  <si>
    <t xml:space="preserve">Prepared By - </t>
  </si>
  <si>
    <t xml:space="preserve">Approved By - </t>
  </si>
  <si>
    <t>April'22</t>
  </si>
  <si>
    <t>May'22</t>
  </si>
  <si>
    <t>June'22</t>
  </si>
  <si>
    <t>July'22</t>
  </si>
  <si>
    <t>August'22</t>
  </si>
  <si>
    <t>Sep'22</t>
  </si>
  <si>
    <t>Oct'22</t>
  </si>
  <si>
    <t>Nov'22</t>
  </si>
  <si>
    <t>Dec'22</t>
  </si>
  <si>
    <t>Jan'23</t>
  </si>
  <si>
    <t>Feb'23</t>
  </si>
  <si>
    <t>Mar'23</t>
  </si>
  <si>
    <t>Projected sale plan.(Rs.Lac)</t>
  </si>
  <si>
    <t>2023~24</t>
  </si>
  <si>
    <t>Targets  - 2023~24</t>
  </si>
  <si>
    <t>550T, IMM need to add</t>
  </si>
  <si>
    <t>To take business of molding parts form MATS-that are running at different venders</t>
  </si>
  <si>
    <t>To get Green status(&gt;75% mark's) TOOL ROOM- Audit from MSIL</t>
  </si>
  <si>
    <t xml:space="preserve">March'24 </t>
  </si>
  <si>
    <t>To Start YWD-SOP(MSIL) business from Mahle</t>
  </si>
  <si>
    <t>Dec'23~Jan,24</t>
  </si>
  <si>
    <t>April'24</t>
  </si>
  <si>
    <t>To take tata ace drain plug assembly business from Mahle</t>
  </si>
  <si>
    <t>Oct'23</t>
  </si>
  <si>
    <t>To achive more than 65% marks in VSA of MSIL/MACE</t>
  </si>
  <si>
    <t xml:space="preserve">Oct'23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</si>
</sst>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color rgb="FF000000"/>
      <sz val="16"/>
    </font>
    <font>
      <color theme="1"/>
      <family val="2"/>
      <scheme val="minor"/>
      <sz val="20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22"/>
      <name val="Calibri"/>
    </font>
    <font>
      <b/>
      <color theme="1"/>
      <family val="2"/>
      <scheme val="minor"/>
      <sz val="20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24"/>
      <name val="Calibri"/>
    </font>
    <font>
      <color theme="1"/>
      <family val="2"/>
      <scheme val="minor"/>
      <sz val="18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2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3" borderId="8" xfId="0" applyFont="1" applyFill="1" applyBorder="1"/>
    <xf numFmtId="0" fontId="4" fillId="0" borderId="8" xfId="0" applyFont="1" applyBorder="1"/>
    <xf numFmtId="0" fontId="4" fillId="3" borderId="8" xfId="0" applyFont="1" applyFill="1" applyBorder="1"/>
    <xf numFmtId="0" fontId="5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7" fillId="0" borderId="0" xfId="0" applyFont="1"/>
    <xf numFmtId="0" fontId="7" fillId="0" borderId="8" xfId="0" applyFont="1" applyBorder="1"/>
    <xf numFmtId="0" fontId="7" fillId="0" borderId="8" xfId="0" applyFont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5" borderId="8" xfId="0" applyFont="1" applyFill="1" applyBorder="1"/>
    <xf numFmtId="0" fontId="1" fillId="3" borderId="8" xfId="0" applyFont="1" applyFill="1" applyBorder="1" applyAlignment="1">
      <alignment horizontal="center"/>
    </xf>
    <xf numFmtId="1" fontId="1" fillId="3" borderId="8" xfId="0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0" xfId="0" applyFont="1" applyBorder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8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8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 textRotation="180"/>
    </xf>
    <xf numFmtId="0" fontId="10" fillId="0" borderId="39" xfId="0" applyFont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0" fontId="10" fillId="0" borderId="8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 textRotation="180"/>
    </xf>
    <xf numFmtId="0" fontId="10" fillId="7" borderId="4" xfId="0" applyFont="1" applyFill="1" applyBorder="1" applyAlignment="1">
      <alignment horizontal="center" vertical="center" wrapText="1"/>
    </xf>
    <xf numFmtId="0" fontId="10" fillId="0" borderId="0" xfId="0" applyFont="1"/>
    <xf numFmtId="1" fontId="10" fillId="0" borderId="40" xfId="0" applyNumberFormat="1" applyFont="1" applyBorder="1" applyAlignment="1">
      <alignment horizontal="center" vertical="center"/>
    </xf>
    <xf numFmtId="1" fontId="10" fillId="0" borderId="41" xfId="0" applyNumberFormat="1" applyFont="1" applyBorder="1" applyAlignment="1">
      <alignment horizontal="center" vertical="center"/>
    </xf>
    <xf numFmtId="1" fontId="10" fillId="0" borderId="31" xfId="0" applyNumberFormat="1" applyFon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/>
    <xf numFmtId="0" fontId="10" fillId="8" borderId="20" xfId="0" applyFont="1" applyFill="1" applyBorder="1" applyAlignment="1">
      <alignment horizontal="center" vertical="center" wrapText="1"/>
    </xf>
    <xf numFmtId="2" fontId="10" fillId="0" borderId="14" xfId="0" applyNumberFormat="1" applyFont="1" applyBorder="1" applyAlignment="1">
      <alignment horizontal="center" vertical="center"/>
    </xf>
    <xf numFmtId="0" fontId="1" fillId="8" borderId="0" xfId="0" applyFont="1" applyFill="1" applyAlignment="1">
      <alignment horizontal="center" vertical="center" wrapText="1" textRotation="180"/>
    </xf>
    <xf numFmtId="0" fontId="10" fillId="8" borderId="4" xfId="0" applyFont="1" applyFill="1" applyBorder="1" applyAlignment="1">
      <alignment horizontal="center" vertical="center" wrapText="1"/>
    </xf>
    <xf numFmtId="0" fontId="10" fillId="9" borderId="20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wrapText="1" textRotation="180"/>
    </xf>
    <xf numFmtId="0" fontId="10" fillId="9" borderId="4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wrapText="1" textRotation="180"/>
    </xf>
    <xf numFmtId="0" fontId="10" fillId="10" borderId="4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33" xfId="0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5" xfId="0" applyFont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</xdr:row>
      <xdr:rowOff>47626</xdr:rowOff>
    </xdr:from>
    <xdr:to>
      <xdr:col>0</xdr:col>
      <xdr:colOff>784412</xdr:colOff>
      <xdr:row>5</xdr:row>
      <xdr:rowOff>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zoomScale="100" zoomScaleNormal="100">
      <selection activeCell="C6" sqref="C6"/>
    </sheetView>
  </sheetViews>
  <sheetFormatPr defaultRowHeight="18.75" outlineLevelRow="0" outlineLevelCol="0" x14ac:dyDescent="0.3" defaultColWidth="9.140625" customHeight="1"/>
  <cols>
    <col min="1" max="1" width="6.42578125" style="1" customWidth="1"/>
    <col min="2" max="2" width="40" style="1" customWidth="1"/>
    <col min="3" max="3" width="34.7109375" style="1" customWidth="1"/>
    <col min="4" max="4" width="26" style="1" customWidth="1"/>
    <col min="5" max="5" width="19" style="1" customWidth="1"/>
    <col min="6" max="6" width="22.7109375" style="1" customWidth="1"/>
    <col min="7" max="7" width="19" style="1" customWidth="1"/>
    <col min="8" max="16384" width="9.140625" style="1" customWidth="1"/>
  </cols>
  <sheetData>
    <row r="1" spans="1:1" x14ac:dyDescent="0.25">
      <c r="A1" s="2" t="s">
        <v>0</v>
      </c>
    </row>
    <row r="2" ht="19.5" customHeight="1" x14ac:dyDescent="0.25"/>
    <row r="3" ht="26.25" customHeight="1" spans="1:7" x14ac:dyDescent="0.25">
      <c r="A3" s="3" t="s">
        <v>1</v>
      </c>
      <c r="B3" s="4"/>
      <c r="C3" s="4"/>
      <c r="D3" s="4"/>
      <c r="E3" s="4"/>
      <c r="F3" s="4"/>
      <c r="G3" s="5"/>
    </row>
    <row r="4" spans="1:7" x14ac:dyDescent="0.25">
      <c r="A4" s="6"/>
      <c r="B4" s="7"/>
      <c r="C4" s="8"/>
      <c r="D4" s="8"/>
      <c r="E4" s="8"/>
      <c r="F4" s="9"/>
      <c r="G4" s="6"/>
    </row>
    <row r="5" ht="22.5" customHeight="1" spans="1:7" x14ac:dyDescent="0.25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1" t="s">
        <v>8</v>
      </c>
    </row>
    <row r="6" ht="24.95" customHeight="1" spans="1:7" x14ac:dyDescent="0.25">
      <c r="A6" s="10">
        <v>1</v>
      </c>
      <c r="B6" s="10" t="s">
        <v>9</v>
      </c>
      <c r="C6" s="12" t="s">
        <v>10</v>
      </c>
      <c r="D6" s="12">
        <v>772</v>
      </c>
      <c r="E6" s="12">
        <v>450</v>
      </c>
      <c r="F6" s="12">
        <v>1000</v>
      </c>
      <c r="G6" s="13">
        <v>500</v>
      </c>
    </row>
    <row r="7" ht="24.95" customHeight="1" spans="1:7" x14ac:dyDescent="0.25">
      <c r="A7" s="10">
        <v>2</v>
      </c>
      <c r="B7" s="10" t="s">
        <v>11</v>
      </c>
      <c r="C7" s="12" t="s">
        <v>12</v>
      </c>
      <c r="D7" s="12">
        <v>15</v>
      </c>
      <c r="E7" s="12">
        <v>15</v>
      </c>
      <c r="F7" s="12">
        <v>15</v>
      </c>
      <c r="G7" s="13">
        <v>18</v>
      </c>
    </row>
    <row r="8" ht="24.95" customHeight="1" spans="1:7" x14ac:dyDescent="0.25">
      <c r="A8" s="10">
        <v>3</v>
      </c>
      <c r="B8" s="10" t="s">
        <v>11</v>
      </c>
      <c r="C8" s="12" t="s">
        <v>13</v>
      </c>
      <c r="D8" s="12">
        <v>115.8</v>
      </c>
      <c r="E8" s="12">
        <v>67.5</v>
      </c>
      <c r="F8" s="12">
        <v>150</v>
      </c>
      <c r="G8" s="13">
        <f>+G6*G7%</f>
        <v>90</v>
      </c>
    </row>
    <row r="9" ht="24.95" customHeight="1" spans="1:7" x14ac:dyDescent="0.25">
      <c r="A9" s="10">
        <v>4</v>
      </c>
      <c r="B9" s="10" t="s">
        <v>14</v>
      </c>
      <c r="C9" s="12" t="s">
        <v>15</v>
      </c>
      <c r="D9" s="12">
        <v>4</v>
      </c>
      <c r="E9" s="12">
        <v>5</v>
      </c>
      <c r="F9" s="12">
        <v>5</v>
      </c>
      <c r="G9" s="13">
        <v>7</v>
      </c>
    </row>
    <row r="10" ht="24.95" customHeight="1" spans="1:7" x14ac:dyDescent="0.25">
      <c r="A10" s="10">
        <v>5</v>
      </c>
      <c r="B10" s="10" t="s">
        <v>14</v>
      </c>
      <c r="C10" s="12" t="s">
        <v>10</v>
      </c>
      <c r="D10" s="12">
        <v>30.88</v>
      </c>
      <c r="E10" s="12">
        <v>22.5</v>
      </c>
      <c r="F10" s="12">
        <v>50</v>
      </c>
      <c r="G10" s="13">
        <f>+G6*G9%</f>
        <v>35</v>
      </c>
    </row>
    <row r="11" ht="24.95" customHeight="1" spans="1:7" x14ac:dyDescent="0.25">
      <c r="A11" s="10">
        <v>6</v>
      </c>
      <c r="B11" s="10" t="s">
        <v>16</v>
      </c>
      <c r="C11" s="12" t="s">
        <v>17</v>
      </c>
      <c r="D11" s="12">
        <v>35</v>
      </c>
      <c r="E11" s="12">
        <v>35</v>
      </c>
      <c r="F11" s="12">
        <v>35</v>
      </c>
      <c r="G11" s="13">
        <v>30</v>
      </c>
    </row>
    <row r="12" ht="24.95" customHeight="1" spans="1:7" x14ac:dyDescent="0.25">
      <c r="A12" s="10">
        <v>7</v>
      </c>
      <c r="B12" s="10" t="s">
        <v>18</v>
      </c>
      <c r="C12" s="12"/>
      <c r="D12" s="12" t="s">
        <v>19</v>
      </c>
      <c r="E12" s="12" t="s">
        <v>19</v>
      </c>
      <c r="F12" s="12" t="s">
        <v>18</v>
      </c>
      <c r="G12" s="13" t="s">
        <v>20</v>
      </c>
    </row>
    <row r="13" ht="24.95" customHeight="1" spans="1:7" x14ac:dyDescent="0.25">
      <c r="A13" s="10">
        <v>8</v>
      </c>
      <c r="B13" s="10" t="s">
        <v>21</v>
      </c>
      <c r="C13" s="12" t="s">
        <v>15</v>
      </c>
      <c r="D13" s="12">
        <v>1.5</v>
      </c>
      <c r="E13" s="12">
        <v>1.5</v>
      </c>
      <c r="F13" s="12">
        <v>2</v>
      </c>
      <c r="G13" s="13">
        <v>2.5</v>
      </c>
    </row>
    <row r="14" ht="24.95" customHeight="1" spans="1:7" x14ac:dyDescent="0.25">
      <c r="A14" s="10">
        <v>9</v>
      </c>
      <c r="B14" s="10" t="s">
        <v>21</v>
      </c>
      <c r="C14" s="12" t="s">
        <v>10</v>
      </c>
      <c r="D14" s="12">
        <v>11.58</v>
      </c>
      <c r="E14" s="12">
        <v>6.75</v>
      </c>
      <c r="F14" s="12">
        <v>20</v>
      </c>
      <c r="G14" s="13">
        <v>22</v>
      </c>
    </row>
    <row r="15" ht="24.95" customHeight="1" spans="1:7" x14ac:dyDescent="0.25">
      <c r="A15" s="10">
        <v>10</v>
      </c>
      <c r="B15" s="10" t="s">
        <v>22</v>
      </c>
      <c r="C15" s="12" t="s">
        <v>23</v>
      </c>
      <c r="D15" s="12">
        <v>24</v>
      </c>
      <c r="E15" s="12">
        <v>24</v>
      </c>
      <c r="F15" s="12">
        <v>24</v>
      </c>
      <c r="G15" s="13">
        <v>30</v>
      </c>
    </row>
    <row r="16" ht="24.95" customHeight="1" spans="1:7" x14ac:dyDescent="0.25">
      <c r="A16" s="10">
        <v>11</v>
      </c>
      <c r="B16" s="10" t="s">
        <v>24</v>
      </c>
      <c r="C16" s="12" t="s">
        <v>25</v>
      </c>
      <c r="D16" s="12">
        <v>0</v>
      </c>
      <c r="E16" s="12">
        <v>0</v>
      </c>
      <c r="F16" s="12">
        <v>0</v>
      </c>
      <c r="G16" s="13">
        <v>0</v>
      </c>
    </row>
    <row r="17" ht="24.95" customHeight="1" spans="1:7" x14ac:dyDescent="0.25">
      <c r="A17" s="10">
        <v>12</v>
      </c>
      <c r="B17" s="10" t="s">
        <v>26</v>
      </c>
      <c r="C17" s="12" t="s">
        <v>15</v>
      </c>
      <c r="D17" s="12">
        <v>75</v>
      </c>
      <c r="E17" s="12">
        <v>80</v>
      </c>
      <c r="F17" s="12">
        <v>80</v>
      </c>
      <c r="G17" s="13">
        <v>85</v>
      </c>
    </row>
    <row r="18" ht="24.95" customHeight="1" spans="1:7" x14ac:dyDescent="0.25">
      <c r="A18" s="10">
        <v>13</v>
      </c>
      <c r="B18" s="10" t="s">
        <v>27</v>
      </c>
      <c r="C18" s="12" t="s">
        <v>15</v>
      </c>
      <c r="D18" s="12">
        <v>0.6</v>
      </c>
      <c r="E18" s="12">
        <v>0.5</v>
      </c>
      <c r="F18" s="12">
        <v>0.5</v>
      </c>
      <c r="G18" s="13">
        <v>2</v>
      </c>
    </row>
    <row r="19" ht="24.95" customHeight="1" spans="1:7" x14ac:dyDescent="0.25">
      <c r="A19" s="10">
        <v>14</v>
      </c>
      <c r="B19" s="10" t="s">
        <v>28</v>
      </c>
      <c r="C19" s="12" t="s">
        <v>15</v>
      </c>
      <c r="D19" s="12">
        <v>90</v>
      </c>
      <c r="E19" s="12">
        <v>92</v>
      </c>
      <c r="F19" s="12">
        <v>92</v>
      </c>
      <c r="G19" s="13">
        <v>92</v>
      </c>
    </row>
    <row r="20" ht="24.95" customHeight="1" spans="1:7" x14ac:dyDescent="0.25">
      <c r="A20" s="10"/>
      <c r="B20" s="10"/>
      <c r="C20" s="10"/>
      <c r="D20" s="10"/>
      <c r="E20" s="10"/>
      <c r="F20" s="10"/>
      <c r="G20" s="10"/>
    </row>
    <row r="21" ht="24.95" customHeight="1" spans="1:3" x14ac:dyDescent="0.25">
      <c r="A21" s="14" t="s">
        <v>29</v>
      </c>
      <c r="B21" s="14"/>
      <c r="C21" s="14"/>
    </row>
    <row r="22" ht="24.95" customHeight="1" spans="1:3" x14ac:dyDescent="0.25">
      <c r="A22" s="15"/>
      <c r="B22" s="16" t="s">
        <v>30</v>
      </c>
      <c r="C22" s="17" t="s">
        <v>31</v>
      </c>
    </row>
    <row r="23" ht="24.95" customHeight="1" spans="1:3" x14ac:dyDescent="0.25">
      <c r="A23" s="18">
        <v>1</v>
      </c>
      <c r="B23" s="19" t="s">
        <v>32</v>
      </c>
      <c r="C23" s="20" t="s">
        <v>33</v>
      </c>
    </row>
    <row r="24" ht="24.95" customHeight="1" spans="1:3" x14ac:dyDescent="0.25">
      <c r="A24" s="18">
        <v>2</v>
      </c>
      <c r="B24" s="19" t="s">
        <v>34</v>
      </c>
      <c r="C24" s="20" t="s">
        <v>35</v>
      </c>
    </row>
    <row r="25" ht="24.95" customHeight="1" spans="1:3" x14ac:dyDescent="0.25">
      <c r="A25" s="18">
        <v>3</v>
      </c>
      <c r="B25" s="19" t="s">
        <v>36</v>
      </c>
      <c r="C25" s="20" t="s">
        <v>37</v>
      </c>
    </row>
    <row r="26" ht="24.95" customHeight="1" spans="1:3" x14ac:dyDescent="0.25">
      <c r="A26" s="21">
        <v>4</v>
      </c>
      <c r="B26" s="22" t="s">
        <v>38</v>
      </c>
      <c r="C26" s="23" t="s">
        <v>39</v>
      </c>
    </row>
  </sheetData>
  <mergeCells count="3">
    <mergeCell ref="A3:G3"/>
    <mergeCell ref="B4:F4"/>
    <mergeCell ref="A21:C21"/>
  </mergeCells>
  <pageMargins left="0.7" right="0.7" top="0.75" bottom="0.75" header="0.3" footer="0.3"/>
  <pageSetup paperSize="0" orientation="portrait" horizontalDpi="0" verticalDpi="0" scale="100" fitToWidth="1" fitToHeight="1" firstPageNumber="1" useFirstPageNumber="1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"/>
  <sheetViews>
    <sheetView workbookViewId="0" zoomScale="100" zoomScaleNormal="100">
      <selection activeCell="I13" sqref="I13"/>
    </sheetView>
  </sheetViews>
  <sheetFormatPr defaultRowHeight="15" outlineLevelRow="0" outlineLevelCol="0" x14ac:dyDescent="0.25" defaultColWidth="8.85546875"/>
  <cols>
    <col min="1" max="1" width="17.7109375" customWidth="1"/>
    <col min="7" max="7" width="7.28515625" customWidth="1"/>
    <col min="8" max="8" width="6.85546875" customWidth="1"/>
  </cols>
  <sheetData>
    <row r="3" spans="2:14" x14ac:dyDescent="0.25"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39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</row>
    <row r="4" spans="1:14" x14ac:dyDescent="0.25">
      <c r="A4" t="s">
        <v>52</v>
      </c>
      <c r="B4">
        <v>60</v>
      </c>
      <c r="C4">
        <v>55</v>
      </c>
      <c r="D4">
        <v>45</v>
      </c>
      <c r="E4">
        <v>48</v>
      </c>
      <c r="F4">
        <v>35</v>
      </c>
      <c r="G4">
        <v>32</v>
      </c>
      <c r="H4">
        <v>45</v>
      </c>
      <c r="I4">
        <v>48</v>
      </c>
      <c r="J4">
        <v>30</v>
      </c>
      <c r="K4">
        <v>25</v>
      </c>
      <c r="L4">
        <v>35</v>
      </c>
      <c r="M4">
        <v>40</v>
      </c>
      <c r="N4">
        <f>+SUM(B4:M4)</f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 zoomScale="100" zoomScaleNormal="100">
      <selection activeCell="A21" sqref="A21"/>
    </sheetView>
  </sheetViews>
  <sheetFormatPr defaultRowHeight="18.75" outlineLevelRow="0" outlineLevelCol="0" x14ac:dyDescent="0.3" defaultColWidth="9.140625" customHeight="1"/>
  <cols>
    <col min="1" max="1" width="8.42578125" style="1" customWidth="1"/>
    <col min="2" max="2" width="64.42578125" style="1" customWidth="1"/>
    <col min="3" max="3" width="47.42578125" style="1" customWidth="1"/>
    <col min="4" max="4" width="26" style="1" hidden="1" customWidth="1"/>
    <col min="5" max="5" width="19" style="1" hidden="1" customWidth="1"/>
    <col min="6" max="6" width="23.42578125" style="1" hidden="1" customWidth="1"/>
    <col min="7" max="7" width="16.42578125" style="1" hidden="1" customWidth="1"/>
    <col min="8" max="8" width="15.85546875" style="1" hidden="1" customWidth="1"/>
    <col min="9" max="9" width="17.85546875" style="1" customWidth="1"/>
    <col min="10" max="16384" width="9.140625" style="1" customWidth="1"/>
  </cols>
  <sheetData>
    <row r="1" ht="41.25" customHeight="1" spans="1:9" x14ac:dyDescent="0.25">
      <c r="A1" s="24" t="s">
        <v>53</v>
      </c>
      <c r="B1" s="25"/>
      <c r="C1" s="25"/>
      <c r="D1" s="25"/>
      <c r="E1" s="25"/>
      <c r="F1" s="25"/>
      <c r="G1" s="25"/>
      <c r="H1" s="25"/>
      <c r="I1" s="26"/>
    </row>
    <row r="2" ht="22.5" customHeight="1" spans="1:9" s="27" customFormat="1" x14ac:dyDescent="0.25">
      <c r="A2" s="28" t="s">
        <v>54</v>
      </c>
      <c r="B2" s="29" t="s">
        <v>3</v>
      </c>
      <c r="C2" s="29" t="s">
        <v>4</v>
      </c>
      <c r="D2" s="29" t="s">
        <v>5</v>
      </c>
      <c r="E2" s="29" t="s">
        <v>6</v>
      </c>
      <c r="F2" s="29" t="s">
        <v>7</v>
      </c>
      <c r="G2" s="30" t="s">
        <v>8</v>
      </c>
      <c r="H2" s="30" t="s">
        <v>55</v>
      </c>
      <c r="I2" s="31" t="s">
        <v>56</v>
      </c>
    </row>
    <row r="3" ht="24.95" customHeight="1" spans="1:9" x14ac:dyDescent="0.25">
      <c r="A3" s="32">
        <v>1</v>
      </c>
      <c r="B3" s="32" t="s">
        <v>9</v>
      </c>
      <c r="C3" s="33" t="s">
        <v>10</v>
      </c>
      <c r="D3" s="12">
        <v>772</v>
      </c>
      <c r="E3" s="12">
        <v>450</v>
      </c>
      <c r="F3" s="12">
        <v>1000</v>
      </c>
      <c r="G3" s="34">
        <v>500</v>
      </c>
      <c r="H3" s="34">
        <v>520</v>
      </c>
      <c r="I3" s="35" t="e">
        <f>+#REF!</f>
        <v>#REF!</v>
      </c>
    </row>
    <row r="4" ht="24.95" customHeight="1" spans="1:9" x14ac:dyDescent="0.25">
      <c r="A4" s="32">
        <v>2</v>
      </c>
      <c r="B4" s="32" t="s">
        <v>11</v>
      </c>
      <c r="C4" s="33" t="s">
        <v>12</v>
      </c>
      <c r="D4" s="12">
        <v>15</v>
      </c>
      <c r="E4" s="12">
        <v>15</v>
      </c>
      <c r="F4" s="12">
        <v>15</v>
      </c>
      <c r="G4" s="34">
        <v>18</v>
      </c>
      <c r="H4" s="34">
        <v>18</v>
      </c>
      <c r="I4" s="35">
        <v>20</v>
      </c>
    </row>
    <row r="5" ht="24.95" customHeight="1" spans="1:9" x14ac:dyDescent="0.25">
      <c r="A5" s="32">
        <v>3</v>
      </c>
      <c r="B5" s="32" t="s">
        <v>11</v>
      </c>
      <c r="C5" s="33" t="s">
        <v>13</v>
      </c>
      <c r="D5" s="12">
        <v>115.8</v>
      </c>
      <c r="E5" s="12">
        <v>67.5</v>
      </c>
      <c r="F5" s="12">
        <v>150</v>
      </c>
      <c r="G5" s="34">
        <f>+G3*G4%</f>
        <v>90</v>
      </c>
      <c r="H5" s="34">
        <f>+H3*H4%</f>
        <v>93.6</v>
      </c>
      <c r="I5" s="35" t="e">
        <f>+I3*I4%</f>
        <v>#REF!</v>
      </c>
    </row>
    <row r="6" ht="24.95" customHeight="1" spans="1:9" x14ac:dyDescent="0.25">
      <c r="A6" s="32">
        <v>4</v>
      </c>
      <c r="B6" s="32" t="s">
        <v>14</v>
      </c>
      <c r="C6" s="33" t="s">
        <v>15</v>
      </c>
      <c r="D6" s="12">
        <v>4</v>
      </c>
      <c r="E6" s="12">
        <v>5</v>
      </c>
      <c r="F6" s="12">
        <v>5</v>
      </c>
      <c r="G6" s="34">
        <v>7</v>
      </c>
      <c r="H6" s="34">
        <v>7</v>
      </c>
      <c r="I6" s="36">
        <v>10</v>
      </c>
    </row>
    <row r="7" ht="24.95" customHeight="1" spans="1:9" x14ac:dyDescent="0.25">
      <c r="A7" s="32">
        <v>5</v>
      </c>
      <c r="B7" s="32" t="s">
        <v>14</v>
      </c>
      <c r="C7" s="33" t="s">
        <v>10</v>
      </c>
      <c r="D7" s="12">
        <v>30.88</v>
      </c>
      <c r="E7" s="12">
        <v>22.5</v>
      </c>
      <c r="F7" s="12">
        <v>50</v>
      </c>
      <c r="G7" s="34">
        <f>+G3*G6%</f>
        <v>35</v>
      </c>
      <c r="H7" s="34">
        <f>+H3*H6%</f>
        <v>36.400000000000006</v>
      </c>
      <c r="I7" s="36" t="e">
        <f>+I3*I6/100</f>
        <v>#REF!</v>
      </c>
    </row>
    <row r="8" ht="24.95" customHeight="1" spans="1:9" x14ac:dyDescent="0.25">
      <c r="A8" s="32">
        <v>6</v>
      </c>
      <c r="B8" s="32" t="s">
        <v>16</v>
      </c>
      <c r="C8" s="33" t="s">
        <v>17</v>
      </c>
      <c r="D8" s="12">
        <v>35</v>
      </c>
      <c r="E8" s="12">
        <v>35</v>
      </c>
      <c r="F8" s="12">
        <v>35</v>
      </c>
      <c r="G8" s="34">
        <v>30</v>
      </c>
      <c r="H8" s="34">
        <v>30</v>
      </c>
      <c r="I8" s="35">
        <v>30</v>
      </c>
    </row>
    <row r="9" ht="24.95" customHeight="1" spans="1:9" x14ac:dyDescent="0.25">
      <c r="A9" s="32">
        <v>7</v>
      </c>
      <c r="B9" s="32" t="s">
        <v>18</v>
      </c>
      <c r="C9" s="33"/>
      <c r="D9" s="12" t="s">
        <v>19</v>
      </c>
      <c r="E9" s="12" t="s">
        <v>19</v>
      </c>
      <c r="F9" s="12" t="s">
        <v>18</v>
      </c>
      <c r="G9" s="34" t="s">
        <v>20</v>
      </c>
      <c r="H9" s="34" t="s">
        <v>20</v>
      </c>
      <c r="I9" s="35" t="s">
        <v>57</v>
      </c>
    </row>
    <row r="10" ht="24.95" customHeight="1" spans="1:9" x14ac:dyDescent="0.25">
      <c r="A10" s="32">
        <v>8</v>
      </c>
      <c r="B10" s="32" t="s">
        <v>21</v>
      </c>
      <c r="C10" s="33" t="s">
        <v>15</v>
      </c>
      <c r="D10" s="12">
        <v>1.5</v>
      </c>
      <c r="E10" s="12">
        <v>1.5</v>
      </c>
      <c r="F10" s="12">
        <v>2</v>
      </c>
      <c r="G10" s="34">
        <v>2.5</v>
      </c>
      <c r="H10" s="34">
        <v>2.5</v>
      </c>
      <c r="I10" s="35">
        <v>3</v>
      </c>
    </row>
    <row r="11" ht="24.95" customHeight="1" spans="1:9" x14ac:dyDescent="0.25">
      <c r="A11" s="32">
        <v>9</v>
      </c>
      <c r="B11" s="32" t="s">
        <v>21</v>
      </c>
      <c r="C11" s="33" t="s">
        <v>10</v>
      </c>
      <c r="D11" s="12">
        <v>11.58</v>
      </c>
      <c r="E11" s="12">
        <v>6.75</v>
      </c>
      <c r="F11" s="12">
        <v>20</v>
      </c>
      <c r="G11" s="34">
        <v>22</v>
      </c>
      <c r="H11" s="34">
        <v>22</v>
      </c>
      <c r="I11" s="36" t="e">
        <f>+I3*3%</f>
        <v>#REF!</v>
      </c>
    </row>
    <row r="12" ht="24.95" customHeight="1" spans="1:9" x14ac:dyDescent="0.25">
      <c r="A12" s="32">
        <v>10</v>
      </c>
      <c r="B12" s="32" t="s">
        <v>22</v>
      </c>
      <c r="C12" s="33" t="s">
        <v>23</v>
      </c>
      <c r="D12" s="12">
        <v>24</v>
      </c>
      <c r="E12" s="12">
        <v>24</v>
      </c>
      <c r="F12" s="12">
        <v>24</v>
      </c>
      <c r="G12" s="34">
        <v>30</v>
      </c>
      <c r="H12" s="34">
        <v>30</v>
      </c>
      <c r="I12" s="35">
        <v>18</v>
      </c>
    </row>
    <row r="13" ht="24.95" customHeight="1" spans="1:9" x14ac:dyDescent="0.25">
      <c r="A13" s="32">
        <v>11</v>
      </c>
      <c r="B13" s="32" t="s">
        <v>24</v>
      </c>
      <c r="C13" s="33" t="s">
        <v>25</v>
      </c>
      <c r="D13" s="12">
        <v>0</v>
      </c>
      <c r="E13" s="12">
        <v>0</v>
      </c>
      <c r="F13" s="12">
        <v>0</v>
      </c>
      <c r="G13" s="34">
        <v>0</v>
      </c>
      <c r="H13" s="34">
        <v>0</v>
      </c>
      <c r="I13" s="35">
        <v>0</v>
      </c>
    </row>
    <row r="14" ht="24.95" customHeight="1" spans="1:9" x14ac:dyDescent="0.25">
      <c r="A14" s="32">
        <v>12</v>
      </c>
      <c r="B14" s="32" t="s">
        <v>26</v>
      </c>
      <c r="C14" s="33" t="s">
        <v>15</v>
      </c>
      <c r="D14" s="12">
        <v>75</v>
      </c>
      <c r="E14" s="12">
        <v>80</v>
      </c>
      <c r="F14" s="12">
        <v>80</v>
      </c>
      <c r="G14" s="34">
        <v>85</v>
      </c>
      <c r="H14" s="34">
        <v>85</v>
      </c>
      <c r="I14" s="35">
        <v>90</v>
      </c>
    </row>
    <row r="15" ht="24.95" customHeight="1" spans="1:9" x14ac:dyDescent="0.25">
      <c r="A15" s="32">
        <v>13</v>
      </c>
      <c r="B15" s="32" t="s">
        <v>27</v>
      </c>
      <c r="C15" s="33" t="s">
        <v>15</v>
      </c>
      <c r="D15" s="12">
        <v>0.6</v>
      </c>
      <c r="E15" s="12">
        <v>0.5</v>
      </c>
      <c r="F15" s="12">
        <v>0.5</v>
      </c>
      <c r="G15" s="34">
        <v>2</v>
      </c>
      <c r="H15" s="34">
        <v>2</v>
      </c>
      <c r="I15" s="35">
        <v>2</v>
      </c>
    </row>
    <row r="16" ht="24.95" customHeight="1" spans="1:9" x14ac:dyDescent="0.25">
      <c r="A16" s="32">
        <v>14</v>
      </c>
      <c r="B16" s="32" t="s">
        <v>28</v>
      </c>
      <c r="C16" s="33" t="s">
        <v>15</v>
      </c>
      <c r="D16" s="12">
        <v>90</v>
      </c>
      <c r="E16" s="12">
        <v>92</v>
      </c>
      <c r="F16" s="12">
        <v>92</v>
      </c>
      <c r="G16" s="34">
        <v>92</v>
      </c>
      <c r="H16" s="34">
        <v>92</v>
      </c>
      <c r="I16" s="35">
        <v>92</v>
      </c>
    </row>
    <row r="17" ht="24.95" customHeight="1" spans="1:7" x14ac:dyDescent="0.25">
      <c r="A17" s="37"/>
      <c r="B17" s="38"/>
      <c r="C17" s="37"/>
      <c r="D17" s="10"/>
      <c r="E17" s="10"/>
      <c r="F17" s="10"/>
      <c r="G17" s="10"/>
    </row>
    <row r="18" ht="24.95" customHeight="1" spans="1:3" x14ac:dyDescent="0.25">
      <c r="A18" s="39" t="s">
        <v>29</v>
      </c>
      <c r="B18" s="40"/>
      <c r="C18" s="41"/>
    </row>
    <row r="19" ht="24.95" customHeight="1" spans="1:3" x14ac:dyDescent="0.25">
      <c r="A19" s="15"/>
      <c r="B19" s="42" t="s">
        <v>30</v>
      </c>
      <c r="C19" s="43" t="s">
        <v>58</v>
      </c>
    </row>
    <row r="20" ht="24.95" customHeight="1" spans="1:3" x14ac:dyDescent="0.25">
      <c r="A20" s="44">
        <v>1</v>
      </c>
      <c r="B20" s="19" t="s">
        <v>59</v>
      </c>
      <c r="C20" s="45" t="s">
        <v>60</v>
      </c>
    </row>
    <row r="21" ht="24.95" customHeight="1" spans="1:3" x14ac:dyDescent="0.25">
      <c r="A21" s="44">
        <v>2</v>
      </c>
      <c r="B21" s="19" t="s">
        <v>61</v>
      </c>
      <c r="C21" s="45" t="s">
        <v>62</v>
      </c>
    </row>
    <row r="22" ht="24.95" customHeight="1" spans="1:3" x14ac:dyDescent="0.25">
      <c r="A22" s="44">
        <v>3</v>
      </c>
      <c r="B22" s="19" t="s">
        <v>63</v>
      </c>
      <c r="C22" s="45" t="s">
        <v>64</v>
      </c>
    </row>
    <row r="23" ht="24.95" customHeight="1" spans="1:3" x14ac:dyDescent="0.25">
      <c r="A23" s="46">
        <v>4</v>
      </c>
      <c r="B23" s="47" t="s">
        <v>65</v>
      </c>
      <c r="C23" s="48" t="s">
        <v>66</v>
      </c>
    </row>
    <row r="24" ht="24.95" customHeight="1" spans="1:3" x14ac:dyDescent="0.25">
      <c r="A24" s="46">
        <v>5</v>
      </c>
      <c r="B24" s="47" t="s">
        <v>67</v>
      </c>
      <c r="C24" s="48" t="s">
        <v>68</v>
      </c>
    </row>
    <row r="25" ht="24.95" customHeight="1" spans="1:3" x14ac:dyDescent="0.25">
      <c r="A25" s="49">
        <v>6</v>
      </c>
      <c r="B25" s="22" t="s">
        <v>69</v>
      </c>
      <c r="C25" s="50" t="s">
        <v>70</v>
      </c>
    </row>
  </sheetData>
  <mergeCells count="2">
    <mergeCell ref="A1:I1"/>
    <mergeCell ref="A18:C1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workbookViewId="0" zoomScale="60" zoomScaleNormal="60">
      <pane xSplit="2" ySplit="7" topLeftCell="C8" activePane="bottomRight" state="frozen"/>
      <selection pane="bottomRight" activeCell="D2" sqref="D2"/>
    </sheetView>
  </sheetViews>
  <sheetFormatPr defaultRowHeight="18.75" outlineLevelRow="0" outlineLevelCol="0" x14ac:dyDescent="0.3" defaultColWidth="9.140625" customHeight="1"/>
  <cols>
    <col min="1" max="1" width="12.85546875" style="1" customWidth="1"/>
    <col min="2" max="2" width="42.140625" style="1" customWidth="1"/>
    <col min="3" max="3" width="17" style="1" customWidth="1"/>
    <col min="4" max="4" width="21.7109375" style="1" customWidth="1"/>
    <col min="5" max="5" width="22.140625" style="1" customWidth="1"/>
    <col min="6" max="6" width="22.42578125" style="1" customWidth="1"/>
    <col min="7" max="7" width="24.85546875" style="1" customWidth="1"/>
    <col min="8" max="8" width="46.140625" style="1" customWidth="1"/>
    <col min="9" max="9" width="32.85546875" style="1" customWidth="1"/>
    <col min="10" max="10" width="21" style="1" customWidth="1"/>
    <col min="11" max="11" width="22" style="1" customWidth="1"/>
    <col min="12" max="13" width="6" style="1" customWidth="1"/>
    <col min="14" max="16384" width="9.140625" style="1" customWidth="1"/>
  </cols>
  <sheetData>
    <row r="2" ht="19.5" customHeight="1" x14ac:dyDescent="0.25"/>
    <row r="3" ht="18.75" customHeight="1" spans="1:11" x14ac:dyDescent="0.25">
      <c r="A3" s="51" t="s">
        <v>71</v>
      </c>
      <c r="B3" s="52" t="s">
        <v>72</v>
      </c>
      <c r="C3" s="53"/>
      <c r="D3" s="53"/>
      <c r="E3" s="53"/>
      <c r="F3" s="53"/>
      <c r="G3" s="53"/>
      <c r="H3" s="53"/>
      <c r="I3" s="53"/>
      <c r="J3" s="54"/>
      <c r="K3" s="55" t="s">
        <v>73</v>
      </c>
    </row>
    <row r="4" ht="18.75" customHeight="1" spans="1:11" x14ac:dyDescent="0.25">
      <c r="A4" s="56"/>
      <c r="B4" s="57"/>
      <c r="C4" s="58"/>
      <c r="D4" s="58"/>
      <c r="E4" s="58"/>
      <c r="F4" s="58"/>
      <c r="G4" s="58"/>
      <c r="H4" s="58"/>
      <c r="I4" s="58"/>
      <c r="J4" s="59"/>
      <c r="K4" s="60" t="s">
        <v>74</v>
      </c>
    </row>
    <row r="5" ht="18.75" customHeight="1" spans="1:11" x14ac:dyDescent="0.25">
      <c r="A5" s="56"/>
      <c r="B5" s="57"/>
      <c r="C5" s="58"/>
      <c r="D5" s="58"/>
      <c r="E5" s="58"/>
      <c r="F5" s="58"/>
      <c r="G5" s="58"/>
      <c r="H5" s="58"/>
      <c r="I5" s="58"/>
      <c r="J5" s="59"/>
      <c r="K5" s="60" t="s">
        <v>75</v>
      </c>
    </row>
    <row r="6" ht="19.5" customHeight="1" spans="1:11" x14ac:dyDescent="0.25">
      <c r="A6" s="61"/>
      <c r="B6" s="62"/>
      <c r="C6" s="63"/>
      <c r="D6" s="63"/>
      <c r="E6" s="63"/>
      <c r="F6" s="63"/>
      <c r="G6" s="63"/>
      <c r="H6" s="63"/>
      <c r="I6" s="63"/>
      <c r="J6" s="64"/>
      <c r="K6" s="65" t="s">
        <v>76</v>
      </c>
    </row>
    <row r="7" ht="39" customHeight="1" spans="1:11" s="27" customFormat="1" x14ac:dyDescent="0.25">
      <c r="A7" s="66" t="s">
        <v>77</v>
      </c>
      <c r="B7" s="67" t="s">
        <v>3</v>
      </c>
      <c r="C7" s="67" t="s">
        <v>4</v>
      </c>
      <c r="D7" s="68" t="s">
        <v>78</v>
      </c>
      <c r="E7" s="67" t="s">
        <v>79</v>
      </c>
      <c r="F7" s="67" t="s">
        <v>80</v>
      </c>
      <c r="G7" s="67" t="s">
        <v>81</v>
      </c>
      <c r="H7" s="67" t="s">
        <v>82</v>
      </c>
      <c r="I7" s="67" t="s">
        <v>83</v>
      </c>
      <c r="J7" s="67" t="s">
        <v>84</v>
      </c>
      <c r="K7" s="69" t="s">
        <v>85</v>
      </c>
    </row>
    <row r="8" ht="27" customHeight="1" spans="1:13" s="27" customFormat="1" x14ac:dyDescent="0.25">
      <c r="A8" s="70">
        <v>1</v>
      </c>
      <c r="B8" s="71" t="s">
        <v>86</v>
      </c>
      <c r="C8" s="72"/>
      <c r="D8" s="73" t="s">
        <v>87</v>
      </c>
      <c r="E8" s="72">
        <v>76.85</v>
      </c>
      <c r="F8" s="72">
        <v>75.26</v>
      </c>
      <c r="G8" s="72">
        <v>95.22</v>
      </c>
      <c r="H8" s="72" t="s">
        <v>88</v>
      </c>
      <c r="I8" s="72" t="s">
        <v>89</v>
      </c>
      <c r="J8" s="72" t="s">
        <v>90</v>
      </c>
      <c r="K8" s="74" t="s">
        <v>91</v>
      </c>
      <c r="L8" s="75"/>
      <c r="M8" s="75"/>
    </row>
    <row r="9" ht="32.25" customHeight="1" spans="1:13" x14ac:dyDescent="0.25">
      <c r="A9" s="76"/>
      <c r="B9" s="77"/>
      <c r="C9" s="78" t="s">
        <v>92</v>
      </c>
      <c r="D9" s="78" t="s">
        <v>93</v>
      </c>
      <c r="E9" s="78">
        <v>59.6</v>
      </c>
      <c r="F9" s="78">
        <v>79.35</v>
      </c>
      <c r="G9" s="78" t="s">
        <v>94</v>
      </c>
      <c r="H9" s="78"/>
      <c r="I9" s="78"/>
      <c r="J9" s="78"/>
      <c r="K9" s="79"/>
      <c r="L9" s="75"/>
      <c r="M9" s="75"/>
    </row>
    <row r="10" ht="30" customHeight="1" spans="1:13" x14ac:dyDescent="0.25">
      <c r="A10" s="70">
        <v>2</v>
      </c>
      <c r="B10" s="71" t="s">
        <v>95</v>
      </c>
      <c r="C10" s="78"/>
      <c r="D10" s="73" t="s">
        <v>87</v>
      </c>
      <c r="E10" s="78">
        <v>3.48</v>
      </c>
      <c r="F10" s="78">
        <v>4.11</v>
      </c>
      <c r="G10" s="80" t="s">
        <v>96</v>
      </c>
      <c r="H10" s="78">
        <v>2.4</v>
      </c>
      <c r="I10" s="78">
        <v>2.88</v>
      </c>
      <c r="J10" s="78">
        <v>3.6</v>
      </c>
      <c r="K10" s="79">
        <v>4.32</v>
      </c>
      <c r="L10" s="75"/>
      <c r="M10" s="75"/>
    </row>
    <row r="11" ht="34.5" customHeight="1" spans="1:13" x14ac:dyDescent="0.25">
      <c r="A11" s="76"/>
      <c r="B11" s="77"/>
      <c r="C11" s="78" t="s">
        <v>92</v>
      </c>
      <c r="D11" s="78" t="s">
        <v>93</v>
      </c>
      <c r="E11" s="81">
        <v>0.034</v>
      </c>
      <c r="F11" s="81">
        <v>0.086</v>
      </c>
      <c r="G11" s="80" t="s">
        <v>97</v>
      </c>
      <c r="H11" s="82" t="s">
        <v>98</v>
      </c>
      <c r="I11" s="82" t="s">
        <v>98</v>
      </c>
      <c r="J11" s="82" t="s">
        <v>98</v>
      </c>
      <c r="K11" s="83" t="s">
        <v>98</v>
      </c>
      <c r="L11" s="75"/>
      <c r="M11" s="75"/>
    </row>
    <row r="12" ht="60.75" customHeight="1" spans="1:13" x14ac:dyDescent="0.25">
      <c r="A12" s="70">
        <v>3</v>
      </c>
      <c r="B12" s="84" t="s">
        <v>99</v>
      </c>
      <c r="C12" s="78"/>
      <c r="D12" s="73" t="s">
        <v>87</v>
      </c>
      <c r="E12" s="81">
        <v>0</v>
      </c>
      <c r="F12" s="81">
        <v>1</v>
      </c>
      <c r="G12" s="85">
        <v>3</v>
      </c>
      <c r="H12" s="85">
        <v>4</v>
      </c>
      <c r="I12" s="85">
        <v>2</v>
      </c>
      <c r="J12" s="85">
        <v>2</v>
      </c>
      <c r="K12" s="83">
        <v>2</v>
      </c>
      <c r="L12" s="86"/>
      <c r="M12" s="86"/>
    </row>
    <row r="13" ht="24.95" customHeight="1" spans="1:13" x14ac:dyDescent="0.25">
      <c r="A13" s="76"/>
      <c r="B13" s="87"/>
      <c r="C13" s="78" t="s">
        <v>25</v>
      </c>
      <c r="D13" s="78" t="s">
        <v>93</v>
      </c>
      <c r="E13" s="81" t="s">
        <v>100</v>
      </c>
      <c r="F13" s="81">
        <v>1</v>
      </c>
      <c r="G13" s="82">
        <v>3</v>
      </c>
      <c r="H13" s="88"/>
      <c r="I13" s="88"/>
      <c r="J13" s="82"/>
      <c r="K13" s="83"/>
      <c r="L13" s="86"/>
      <c r="M13" s="86"/>
    </row>
    <row r="14" ht="45.95" customHeight="1" spans="1:13" x14ac:dyDescent="0.25">
      <c r="A14" s="70">
        <v>4</v>
      </c>
      <c r="B14" s="84" t="s">
        <v>101</v>
      </c>
      <c r="C14" s="78"/>
      <c r="D14" s="73" t="s">
        <v>87</v>
      </c>
      <c r="E14" s="81">
        <v>0</v>
      </c>
      <c r="F14" s="81">
        <v>0</v>
      </c>
      <c r="G14" s="85">
        <v>1</v>
      </c>
      <c r="H14" s="89" t="s">
        <v>102</v>
      </c>
      <c r="I14" s="90"/>
      <c r="J14" s="90"/>
      <c r="K14" s="91"/>
      <c r="L14" s="86"/>
      <c r="M14" s="86"/>
    </row>
    <row r="15" ht="24.95" customHeight="1" spans="1:13" x14ac:dyDescent="0.25">
      <c r="A15" s="76"/>
      <c r="B15" s="87"/>
      <c r="C15" s="78" t="s">
        <v>103</v>
      </c>
      <c r="D15" s="78" t="s">
        <v>93</v>
      </c>
      <c r="E15" s="81">
        <v>0</v>
      </c>
      <c r="F15" s="81">
        <v>0</v>
      </c>
      <c r="G15" s="82">
        <v>1</v>
      </c>
      <c r="H15" s="82"/>
      <c r="I15" s="82"/>
      <c r="J15" s="82"/>
      <c r="K15" s="83"/>
      <c r="L15" s="86"/>
      <c r="M15" s="86"/>
    </row>
    <row r="16" ht="72.75" customHeight="1" spans="1:13" x14ac:dyDescent="0.25">
      <c r="A16" s="70">
        <v>5</v>
      </c>
      <c r="B16" s="84" t="s">
        <v>104</v>
      </c>
      <c r="C16" s="78"/>
      <c r="D16" s="73" t="s">
        <v>87</v>
      </c>
      <c r="E16" s="81">
        <v>1</v>
      </c>
      <c r="F16" s="81">
        <v>1</v>
      </c>
      <c r="G16" s="82">
        <v>2</v>
      </c>
      <c r="H16" s="85" t="s">
        <v>105</v>
      </c>
      <c r="I16" s="82" t="s">
        <v>106</v>
      </c>
      <c r="J16" s="82" t="s">
        <v>107</v>
      </c>
      <c r="K16" s="83"/>
      <c r="L16" s="86"/>
      <c r="M16" s="86"/>
    </row>
    <row r="17" ht="54.75" customHeight="1" spans="1:13" x14ac:dyDescent="0.25">
      <c r="A17" s="76"/>
      <c r="B17" s="87"/>
      <c r="C17" s="78" t="s">
        <v>108</v>
      </c>
      <c r="D17" s="78" t="s">
        <v>93</v>
      </c>
      <c r="E17" s="81" t="s">
        <v>109</v>
      </c>
      <c r="F17" s="92" t="s">
        <v>110</v>
      </c>
      <c r="G17" s="85" t="s">
        <v>111</v>
      </c>
      <c r="H17" s="82"/>
      <c r="I17" s="82"/>
      <c r="J17" s="82"/>
      <c r="K17" s="83"/>
      <c r="L17" s="86"/>
      <c r="M17" s="86"/>
    </row>
    <row r="18" ht="86.1" customHeight="1" spans="1:13" x14ac:dyDescent="0.25">
      <c r="A18" s="70">
        <v>6</v>
      </c>
      <c r="B18" s="84" t="s">
        <v>112</v>
      </c>
      <c r="C18" s="78"/>
      <c r="D18" s="73" t="s">
        <v>87</v>
      </c>
      <c r="E18" s="81">
        <v>1</v>
      </c>
      <c r="F18" s="92">
        <v>1</v>
      </c>
      <c r="G18" s="85">
        <v>3</v>
      </c>
      <c r="H18" s="82" t="s">
        <v>113</v>
      </c>
      <c r="I18" s="85" t="s">
        <v>114</v>
      </c>
      <c r="J18" s="82"/>
      <c r="K18" s="83"/>
      <c r="L18" s="86"/>
      <c r="M18" s="86"/>
    </row>
    <row r="19" ht="64.5" customHeight="1" spans="1:13" x14ac:dyDescent="0.25">
      <c r="A19" s="76"/>
      <c r="B19" s="87"/>
      <c r="C19" s="78" t="s">
        <v>103</v>
      </c>
      <c r="D19" s="78" t="s">
        <v>93</v>
      </c>
      <c r="E19" s="92" t="s">
        <v>115</v>
      </c>
      <c r="F19" s="92" t="s">
        <v>115</v>
      </c>
      <c r="G19" s="85" t="s">
        <v>116</v>
      </c>
      <c r="H19" s="82"/>
      <c r="I19" s="82"/>
      <c r="J19" s="82"/>
      <c r="K19" s="83"/>
      <c r="L19" s="86"/>
      <c r="M19" s="86"/>
    </row>
    <row r="20" ht="93" customHeight="1" spans="1:13" x14ac:dyDescent="0.25">
      <c r="A20" s="70">
        <v>7</v>
      </c>
      <c r="B20" s="84" t="s">
        <v>117</v>
      </c>
      <c r="C20" s="78"/>
      <c r="D20" s="73" t="s">
        <v>87</v>
      </c>
      <c r="E20" s="92">
        <v>1</v>
      </c>
      <c r="F20" s="92">
        <v>1</v>
      </c>
      <c r="G20" s="85">
        <v>2</v>
      </c>
      <c r="H20" s="85" t="s">
        <v>118</v>
      </c>
      <c r="I20" s="85" t="s">
        <v>119</v>
      </c>
      <c r="J20" s="82"/>
      <c r="K20" s="83"/>
      <c r="L20" s="86"/>
      <c r="M20" s="86"/>
    </row>
    <row r="21" ht="95.1" customHeight="1" spans="1:13" x14ac:dyDescent="0.25">
      <c r="A21" s="76"/>
      <c r="B21" s="87"/>
      <c r="C21" s="78" t="s">
        <v>25</v>
      </c>
      <c r="D21" s="78" t="s">
        <v>93</v>
      </c>
      <c r="E21" s="92" t="s">
        <v>120</v>
      </c>
      <c r="F21" s="92" t="s">
        <v>121</v>
      </c>
      <c r="G21" s="85" t="s">
        <v>122</v>
      </c>
      <c r="H21" s="93"/>
      <c r="I21" s="93"/>
      <c r="J21" s="82"/>
      <c r="K21" s="83"/>
      <c r="L21" s="86"/>
      <c r="M21" s="86"/>
    </row>
    <row r="22" ht="33.75" customHeight="1" spans="1:13" x14ac:dyDescent="0.25">
      <c r="A22" s="70">
        <v>8</v>
      </c>
      <c r="B22" s="84" t="s">
        <v>21</v>
      </c>
      <c r="C22" s="78"/>
      <c r="D22" s="73" t="s">
        <v>87</v>
      </c>
      <c r="E22" s="89" t="s">
        <v>123</v>
      </c>
      <c r="F22" s="90"/>
      <c r="G22" s="90"/>
      <c r="H22" s="90"/>
      <c r="I22" s="90"/>
      <c r="J22" s="90"/>
      <c r="K22" s="91"/>
      <c r="L22" s="86"/>
      <c r="M22" s="86"/>
    </row>
    <row r="23" ht="24.95" customHeight="1" spans="1:13" x14ac:dyDescent="0.25">
      <c r="A23" s="76"/>
      <c r="B23" s="87"/>
      <c r="C23" s="78" t="s">
        <v>92</v>
      </c>
      <c r="D23" s="78" t="s">
        <v>93</v>
      </c>
      <c r="E23" s="81"/>
      <c r="F23" s="81"/>
      <c r="G23" s="82"/>
      <c r="H23" s="82"/>
      <c r="I23" s="82"/>
      <c r="J23" s="82"/>
      <c r="K23" s="83"/>
      <c r="L23" s="86"/>
      <c r="M23" s="86"/>
    </row>
    <row r="24" ht="24.95" customHeight="1" spans="1:13" x14ac:dyDescent="0.25">
      <c r="A24" s="70">
        <v>9</v>
      </c>
      <c r="B24" s="94" t="s">
        <v>124</v>
      </c>
      <c r="C24" s="78"/>
      <c r="D24" s="73" t="s">
        <v>87</v>
      </c>
      <c r="E24" s="81">
        <v>35</v>
      </c>
      <c r="F24" s="81">
        <v>35</v>
      </c>
      <c r="G24" s="81">
        <v>35</v>
      </c>
      <c r="H24" s="81">
        <v>35</v>
      </c>
      <c r="I24" s="81">
        <v>35</v>
      </c>
      <c r="J24" s="81">
        <v>35</v>
      </c>
      <c r="K24" s="95">
        <v>35</v>
      </c>
      <c r="L24" s="96"/>
      <c r="M24" s="96"/>
    </row>
    <row r="25" ht="24.95" customHeight="1" spans="1:13" x14ac:dyDescent="0.25">
      <c r="A25" s="76"/>
      <c r="B25" s="97"/>
      <c r="C25" s="78" t="s">
        <v>17</v>
      </c>
      <c r="D25" s="78" t="s">
        <v>93</v>
      </c>
      <c r="E25" s="78">
        <v>42.32</v>
      </c>
      <c r="F25" s="78">
        <v>42.38</v>
      </c>
      <c r="G25" s="78">
        <v>41.62</v>
      </c>
      <c r="H25" s="78"/>
      <c r="I25" s="78"/>
      <c r="J25" s="78"/>
      <c r="K25" s="79"/>
      <c r="L25" s="96"/>
      <c r="M25" s="96"/>
    </row>
    <row r="26" ht="24.95" customHeight="1" spans="1:13" x14ac:dyDescent="0.25">
      <c r="A26" s="70">
        <v>10</v>
      </c>
      <c r="B26" s="94" t="s">
        <v>125</v>
      </c>
      <c r="C26" s="78"/>
      <c r="D26" s="73" t="s">
        <v>87</v>
      </c>
      <c r="E26" s="78">
        <v>1.8</v>
      </c>
      <c r="F26" s="78">
        <v>1.8</v>
      </c>
      <c r="G26" s="78">
        <v>1.5</v>
      </c>
      <c r="H26" s="78">
        <v>1</v>
      </c>
      <c r="I26" s="78">
        <v>0.8</v>
      </c>
      <c r="J26" s="78">
        <v>0.8</v>
      </c>
      <c r="K26" s="79">
        <v>0.75</v>
      </c>
      <c r="L26" s="96"/>
      <c r="M26" s="96"/>
    </row>
    <row r="27" ht="24.95" customHeight="1" spans="1:13" x14ac:dyDescent="0.25">
      <c r="A27" s="76"/>
      <c r="B27" s="97"/>
      <c r="C27" s="78" t="s">
        <v>15</v>
      </c>
      <c r="D27" s="78" t="s">
        <v>93</v>
      </c>
      <c r="E27" s="78">
        <v>1.4</v>
      </c>
      <c r="F27" s="78">
        <v>0.78</v>
      </c>
      <c r="G27" s="78"/>
      <c r="H27" s="78"/>
      <c r="I27" s="78"/>
      <c r="J27" s="78"/>
      <c r="K27" s="79"/>
      <c r="L27" s="96"/>
      <c r="M27" s="96"/>
    </row>
    <row r="28" ht="24.95" customHeight="1" spans="1:13" x14ac:dyDescent="0.25">
      <c r="A28" s="70">
        <v>11</v>
      </c>
      <c r="B28" s="98" t="s">
        <v>126</v>
      </c>
      <c r="C28" s="78"/>
      <c r="D28" s="73" t="s">
        <v>87</v>
      </c>
      <c r="E28" s="78">
        <v>85</v>
      </c>
      <c r="F28" s="78">
        <v>85</v>
      </c>
      <c r="G28" s="78">
        <v>90</v>
      </c>
      <c r="H28" s="78">
        <v>90</v>
      </c>
      <c r="I28" s="78">
        <v>90</v>
      </c>
      <c r="J28" s="78">
        <v>90</v>
      </c>
      <c r="K28" s="79">
        <v>95</v>
      </c>
      <c r="L28" s="99"/>
      <c r="M28" s="99"/>
    </row>
    <row r="29" ht="24.95" customHeight="1" spans="1:13" x14ac:dyDescent="0.25">
      <c r="A29" s="76"/>
      <c r="B29" s="100"/>
      <c r="C29" s="78" t="s">
        <v>15</v>
      </c>
      <c r="D29" s="78" t="s">
        <v>93</v>
      </c>
      <c r="E29" s="78">
        <v>94.6</v>
      </c>
      <c r="F29" s="78">
        <v>94.83</v>
      </c>
      <c r="G29" s="78"/>
      <c r="H29" s="78"/>
      <c r="I29" s="78"/>
      <c r="J29" s="78"/>
      <c r="K29" s="79"/>
      <c r="L29" s="99"/>
      <c r="M29" s="99"/>
    </row>
    <row r="30" ht="24.95" customHeight="1" spans="1:13" x14ac:dyDescent="0.25">
      <c r="A30" s="70">
        <v>12</v>
      </c>
      <c r="B30" s="101" t="s">
        <v>127</v>
      </c>
      <c r="C30" s="78"/>
      <c r="D30" s="73" t="s">
        <v>87</v>
      </c>
      <c r="E30" s="78"/>
      <c r="F30" s="78"/>
      <c r="G30" s="78">
        <v>10</v>
      </c>
      <c r="H30" s="78" t="s">
        <v>128</v>
      </c>
      <c r="I30" s="78" t="s">
        <v>129</v>
      </c>
      <c r="J30" s="78" t="s">
        <v>129</v>
      </c>
      <c r="K30" s="79" t="s">
        <v>129</v>
      </c>
      <c r="L30" s="102"/>
      <c r="M30" s="102"/>
    </row>
    <row r="31" ht="24.95" customHeight="1" spans="1:13" x14ac:dyDescent="0.25">
      <c r="A31" s="76"/>
      <c r="B31" s="103"/>
      <c r="C31" s="78" t="s">
        <v>25</v>
      </c>
      <c r="D31" s="78" t="s">
        <v>93</v>
      </c>
      <c r="E31" s="81" t="s">
        <v>100</v>
      </c>
      <c r="F31" s="81" t="s">
        <v>100</v>
      </c>
      <c r="G31" s="82" t="s">
        <v>130</v>
      </c>
      <c r="H31" s="82"/>
      <c r="I31" s="82"/>
      <c r="J31" s="82"/>
      <c r="K31" s="83"/>
      <c r="L31" s="102"/>
      <c r="M31" s="102"/>
    </row>
    <row r="32" ht="24.95" customHeight="1" spans="1:13" x14ac:dyDescent="0.25">
      <c r="A32" s="70">
        <v>13</v>
      </c>
      <c r="B32" s="101" t="s">
        <v>131</v>
      </c>
      <c r="C32" s="78"/>
      <c r="D32" s="73" t="s">
        <v>87</v>
      </c>
      <c r="E32" s="81">
        <v>12</v>
      </c>
      <c r="F32" s="81">
        <v>12</v>
      </c>
      <c r="G32" s="81">
        <v>12</v>
      </c>
      <c r="H32" s="81">
        <v>15</v>
      </c>
      <c r="I32" s="81">
        <v>15</v>
      </c>
      <c r="J32" s="81">
        <v>18</v>
      </c>
      <c r="K32" s="95">
        <v>20</v>
      </c>
      <c r="L32" s="102"/>
      <c r="M32" s="102"/>
    </row>
    <row r="33" ht="24.95" customHeight="1" spans="1:13" x14ac:dyDescent="0.25">
      <c r="A33" s="76"/>
      <c r="B33" s="103"/>
      <c r="C33" s="78" t="s">
        <v>23</v>
      </c>
      <c r="D33" s="78" t="s">
        <v>93</v>
      </c>
      <c r="E33" s="78">
        <v>25.83</v>
      </c>
      <c r="F33" s="78">
        <v>24.77</v>
      </c>
      <c r="G33" s="78" t="s">
        <v>132</v>
      </c>
      <c r="H33" s="78"/>
      <c r="I33" s="78"/>
      <c r="J33" s="78"/>
      <c r="K33" s="79"/>
      <c r="L33" s="102"/>
      <c r="M33" s="102"/>
    </row>
    <row r="34" ht="24.95" customHeight="1" spans="1:13" x14ac:dyDescent="0.25">
      <c r="A34" s="70">
        <v>14</v>
      </c>
      <c r="B34" s="101" t="s">
        <v>133</v>
      </c>
      <c r="C34" s="104"/>
      <c r="D34" s="73" t="s">
        <v>87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5">
        <v>0</v>
      </c>
      <c r="L34" s="102"/>
      <c r="M34" s="102"/>
    </row>
    <row r="35" ht="25.5" customHeight="1" spans="1:13" x14ac:dyDescent="0.25">
      <c r="A35" s="106"/>
      <c r="B35" s="107"/>
      <c r="C35" s="108" t="s">
        <v>25</v>
      </c>
      <c r="D35" s="108" t="s">
        <v>93</v>
      </c>
      <c r="E35" s="108">
        <v>0</v>
      </c>
      <c r="F35" s="108">
        <v>0</v>
      </c>
      <c r="G35" s="108">
        <v>1</v>
      </c>
      <c r="H35" s="108"/>
      <c r="I35" s="108"/>
      <c r="J35" s="108"/>
      <c r="K35" s="109"/>
      <c r="L35" s="102"/>
      <c r="M35" s="102"/>
    </row>
    <row r="36" spans="1:11" x14ac:dyDescent="0.25">
      <c r="A36" s="110" t="s">
        <v>134</v>
      </c>
      <c r="B36" s="111"/>
      <c r="C36" s="111"/>
      <c r="D36" s="111"/>
      <c r="E36" s="111"/>
      <c r="F36" s="111"/>
      <c r="G36" s="111"/>
      <c r="H36" s="111" t="s">
        <v>135</v>
      </c>
      <c r="I36" s="111"/>
      <c r="J36" s="111"/>
      <c r="K36" s="112"/>
    </row>
    <row r="37" ht="19.5" customHeight="1" spans="1:11" x14ac:dyDescent="0.25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5"/>
    </row>
  </sheetData>
  <mergeCells count="39">
    <mergeCell ref="B3:J6"/>
    <mergeCell ref="A3:A6"/>
    <mergeCell ref="L8:M11"/>
    <mergeCell ref="A8:A9"/>
    <mergeCell ref="B8:B9"/>
    <mergeCell ref="A10:A11"/>
    <mergeCell ref="B10:B11"/>
    <mergeCell ref="L12:M23"/>
    <mergeCell ref="A12:A13"/>
    <mergeCell ref="B12:B13"/>
    <mergeCell ref="H14:K14"/>
    <mergeCell ref="A14:A15"/>
    <mergeCell ref="B14:B15"/>
    <mergeCell ref="A16:A17"/>
    <mergeCell ref="B16:B17"/>
    <mergeCell ref="A18:A19"/>
    <mergeCell ref="B18:B19"/>
    <mergeCell ref="A20:A21"/>
    <mergeCell ref="B20:B21"/>
    <mergeCell ref="E22:K22"/>
    <mergeCell ref="A22:A23"/>
    <mergeCell ref="B22:B23"/>
    <mergeCell ref="L24:M27"/>
    <mergeCell ref="A24:A25"/>
    <mergeCell ref="B24:B25"/>
    <mergeCell ref="A26:A27"/>
    <mergeCell ref="B26:B27"/>
    <mergeCell ref="L28:M29"/>
    <mergeCell ref="A28:A29"/>
    <mergeCell ref="B28:B29"/>
    <mergeCell ref="L30:M35"/>
    <mergeCell ref="A30:A31"/>
    <mergeCell ref="B30:B31"/>
    <mergeCell ref="A32:A33"/>
    <mergeCell ref="B32:B33"/>
    <mergeCell ref="A34:A35"/>
    <mergeCell ref="B34:B35"/>
    <mergeCell ref="A36:G37"/>
    <mergeCell ref="H36:K37"/>
  </mergeCells>
  <conditionalFormatting sqref="D9">
    <cfRule type="containsText" dxfId="0" priority="2">
      <formula>NOT(ISERROR(SEARCH("0",D9)))</formula>
    </cfRule>
  </conditionalFormatting>
  <conditionalFormatting sqref="D11 D13 D15 D17 D19 D21 D23 D25 D27 D29 D31 D33 D35">
    <cfRule type="containsText" dxfId="1" priority="1">
      <formula>NOT(ISERROR(SEARCH("0",D11)))</formula>
    </cfRule>
  </conditionalFormatting>
  <pageMargins left="0" right="0" top="0" bottom="0" header="0" footer="0"/>
  <pageSetup paperSize="9" orientation="landscape" horizontalDpi="4294967295" verticalDpi="4294967295" scale="46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"/>
  <sheetViews>
    <sheetView workbookViewId="0" zoomScale="100" zoomScaleNormal="100">
      <selection activeCell="I25" sqref="I25"/>
    </sheetView>
  </sheetViews>
  <sheetFormatPr defaultRowHeight="15" outlineLevelRow="0" outlineLevelCol="0" x14ac:dyDescent="0.25" defaultColWidth="8.85546875"/>
  <cols>
    <col min="1" max="1" width="17.7109375" customWidth="1"/>
    <col min="2" max="2" width="9.42578125" customWidth="1"/>
    <col min="3" max="3" width="10.28515625" customWidth="1"/>
    <col min="4" max="4" width="9.7109375" customWidth="1"/>
    <col min="5" max="5" width="9.28515625" customWidth="1"/>
    <col min="6" max="6" width="11.42578125" customWidth="1"/>
    <col min="7" max="7" width="8.7109375" customWidth="1"/>
    <col min="8" max="8" width="8.140625" customWidth="1"/>
    <col min="13" max="13" width="9.85546875" customWidth="1"/>
    <col min="14" max="14" width="8.7109375" customWidth="1"/>
  </cols>
  <sheetData>
    <row r="3" ht="25.5" customHeight="1" spans="1:14" x14ac:dyDescent="0.25">
      <c r="A3" s="116"/>
      <c r="B3" s="117" t="s">
        <v>136</v>
      </c>
      <c r="C3" s="117" t="s">
        <v>137</v>
      </c>
      <c r="D3" s="117" t="s">
        <v>138</v>
      </c>
      <c r="E3" s="117" t="s">
        <v>139</v>
      </c>
      <c r="F3" s="117" t="s">
        <v>140</v>
      </c>
      <c r="G3" s="117" t="s">
        <v>141</v>
      </c>
      <c r="H3" s="117" t="s">
        <v>142</v>
      </c>
      <c r="I3" s="117" t="s">
        <v>143</v>
      </c>
      <c r="J3" s="117" t="s">
        <v>144</v>
      </c>
      <c r="K3" s="117" t="s">
        <v>145</v>
      </c>
      <c r="L3" s="117" t="s">
        <v>146</v>
      </c>
      <c r="M3" s="117" t="s">
        <v>147</v>
      </c>
      <c r="N3" s="117" t="s">
        <v>51</v>
      </c>
    </row>
    <row r="4" ht="36.75" customHeight="1" spans="1:14" x14ac:dyDescent="0.25">
      <c r="A4" s="118" t="s">
        <v>148</v>
      </c>
      <c r="B4" s="117">
        <v>176</v>
      </c>
      <c r="C4" s="117">
        <v>203</v>
      </c>
      <c r="D4" s="117">
        <v>182</v>
      </c>
      <c r="E4" s="117">
        <v>198</v>
      </c>
      <c r="F4" s="117">
        <v>141.5</v>
      </c>
      <c r="G4" s="117">
        <v>165</v>
      </c>
      <c r="H4" s="117">
        <v>180</v>
      </c>
      <c r="I4" s="117">
        <v>170</v>
      </c>
      <c r="J4" s="117">
        <v>160</v>
      </c>
      <c r="K4" s="117">
        <v>150</v>
      </c>
      <c r="L4" s="117">
        <v>180</v>
      </c>
      <c r="M4" s="117">
        <v>200</v>
      </c>
      <c r="N4" s="117">
        <f>+SUM(B4:M4)</f>
        <v>2105.5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 zoomScale="100" zoomScaleNormal="100">
      <selection activeCell="J2" sqref="J2"/>
    </sheetView>
  </sheetViews>
  <sheetFormatPr defaultRowHeight="18.75" outlineLevelRow="0" outlineLevelCol="0" x14ac:dyDescent="0.3" defaultColWidth="9.140625" customHeight="1"/>
  <cols>
    <col min="1" max="1" width="8.42578125" style="1" customWidth="1"/>
    <col min="2" max="2" width="74.140625" style="1" customWidth="1"/>
    <col min="3" max="3" width="60.85546875" style="1" customWidth="1"/>
    <col min="4" max="4" width="26" style="1" hidden="1" customWidth="1"/>
    <col min="5" max="5" width="19" style="1" hidden="1" customWidth="1"/>
    <col min="6" max="6" width="23.42578125" style="1" hidden="1" customWidth="1"/>
    <col min="7" max="7" width="16.42578125" style="1" hidden="1" customWidth="1"/>
    <col min="8" max="8" width="15.85546875" style="1" hidden="1" customWidth="1"/>
    <col min="9" max="9" width="17.85546875" style="1" customWidth="1"/>
    <col min="10" max="16384" width="9.140625" style="1" customWidth="1"/>
  </cols>
  <sheetData>
    <row r="1" ht="41.25" customHeight="1" spans="1:9" x14ac:dyDescent="0.25">
      <c r="A1" s="24" t="s">
        <v>53</v>
      </c>
      <c r="B1" s="25"/>
      <c r="C1" s="25"/>
      <c r="D1" s="25"/>
      <c r="E1" s="25"/>
      <c r="F1" s="25"/>
      <c r="G1" s="25"/>
      <c r="H1" s="25"/>
      <c r="I1" s="26"/>
    </row>
    <row r="2" ht="22.5" customHeight="1" spans="1:9" s="27" customFormat="1" x14ac:dyDescent="0.25">
      <c r="A2" s="28" t="s">
        <v>54</v>
      </c>
      <c r="B2" s="29" t="s">
        <v>3</v>
      </c>
      <c r="C2" s="29" t="s">
        <v>4</v>
      </c>
      <c r="D2" s="29" t="s">
        <v>5</v>
      </c>
      <c r="E2" s="29" t="s">
        <v>6</v>
      </c>
      <c r="F2" s="29" t="s">
        <v>7</v>
      </c>
      <c r="G2" s="30" t="s">
        <v>8</v>
      </c>
      <c r="H2" s="30" t="s">
        <v>55</v>
      </c>
      <c r="I2" s="31" t="s">
        <v>149</v>
      </c>
    </row>
    <row r="3" ht="24.95" customHeight="1" spans="1:9" x14ac:dyDescent="0.25">
      <c r="A3" s="32">
        <v>1</v>
      </c>
      <c r="B3" s="32" t="s">
        <v>9</v>
      </c>
      <c r="C3" s="33" t="s">
        <v>10</v>
      </c>
      <c r="D3" s="12">
        <v>772</v>
      </c>
      <c r="E3" s="12">
        <v>450</v>
      </c>
      <c r="F3" s="12">
        <v>1000</v>
      </c>
      <c r="G3" s="34">
        <v>500</v>
      </c>
      <c r="H3" s="34">
        <v>520</v>
      </c>
      <c r="I3" s="35">
        <v>2274</v>
      </c>
    </row>
    <row r="4" ht="24.95" customHeight="1" spans="1:9" x14ac:dyDescent="0.25">
      <c r="A4" s="32">
        <v>2</v>
      </c>
      <c r="B4" s="32" t="s">
        <v>11</v>
      </c>
      <c r="C4" s="33" t="s">
        <v>12</v>
      </c>
      <c r="D4" s="12">
        <v>15</v>
      </c>
      <c r="E4" s="12">
        <v>15</v>
      </c>
      <c r="F4" s="12">
        <v>15</v>
      </c>
      <c r="G4" s="34">
        <v>18</v>
      </c>
      <c r="H4" s="34">
        <v>18</v>
      </c>
      <c r="I4" s="35">
        <v>20</v>
      </c>
    </row>
    <row r="5" ht="24.95" customHeight="1" spans="1:9" x14ac:dyDescent="0.25">
      <c r="A5" s="32">
        <v>3</v>
      </c>
      <c r="B5" s="32" t="s">
        <v>11</v>
      </c>
      <c r="C5" s="33" t="s">
        <v>13</v>
      </c>
      <c r="D5" s="12">
        <v>115.8</v>
      </c>
      <c r="E5" s="12">
        <v>67.5</v>
      </c>
      <c r="F5" s="12">
        <v>150</v>
      </c>
      <c r="G5" s="34">
        <f>+G3*G4%</f>
        <v>90</v>
      </c>
      <c r="H5" s="34">
        <f>+H3*H4%</f>
        <v>93.6</v>
      </c>
      <c r="I5" s="35">
        <f>+I3*I4%</f>
        <v>454.8</v>
      </c>
    </row>
    <row r="6" ht="24.95" customHeight="1" spans="1:9" x14ac:dyDescent="0.25">
      <c r="A6" s="32">
        <v>4</v>
      </c>
      <c r="B6" s="32" t="s">
        <v>14</v>
      </c>
      <c r="C6" s="33" t="s">
        <v>15</v>
      </c>
      <c r="D6" s="12">
        <v>4</v>
      </c>
      <c r="E6" s="12">
        <v>5</v>
      </c>
      <c r="F6" s="12">
        <v>5</v>
      </c>
      <c r="G6" s="34">
        <v>7</v>
      </c>
      <c r="H6" s="34">
        <v>7</v>
      </c>
      <c r="I6" s="36">
        <v>10</v>
      </c>
    </row>
    <row r="7" ht="24.95" customHeight="1" spans="1:9" x14ac:dyDescent="0.25">
      <c r="A7" s="32">
        <v>5</v>
      </c>
      <c r="B7" s="32" t="s">
        <v>14</v>
      </c>
      <c r="C7" s="33" t="s">
        <v>10</v>
      </c>
      <c r="D7" s="12">
        <v>30.88</v>
      </c>
      <c r="E7" s="12">
        <v>22.5</v>
      </c>
      <c r="F7" s="12">
        <v>50</v>
      </c>
      <c r="G7" s="34">
        <f>+G3*G6%</f>
        <v>35</v>
      </c>
      <c r="H7" s="34">
        <f>+H3*H6%</f>
        <v>36.400000000000006</v>
      </c>
      <c r="I7" s="36">
        <f>+I3*I6/100</f>
        <v>227.4</v>
      </c>
    </row>
    <row r="8" ht="24.95" customHeight="1" spans="1:9" x14ac:dyDescent="0.25">
      <c r="A8" s="32">
        <v>6</v>
      </c>
      <c r="B8" s="32" t="s">
        <v>16</v>
      </c>
      <c r="C8" s="33" t="s">
        <v>17</v>
      </c>
      <c r="D8" s="12">
        <v>35</v>
      </c>
      <c r="E8" s="12">
        <v>35</v>
      </c>
      <c r="F8" s="12">
        <v>35</v>
      </c>
      <c r="G8" s="34">
        <v>30</v>
      </c>
      <c r="H8" s="34">
        <v>30</v>
      </c>
      <c r="I8" s="35">
        <v>30</v>
      </c>
    </row>
    <row r="9" ht="24.95" customHeight="1" spans="1:9" x14ac:dyDescent="0.25">
      <c r="A9" s="32">
        <v>7</v>
      </c>
      <c r="B9" s="32" t="s">
        <v>18</v>
      </c>
      <c r="C9" s="33"/>
      <c r="D9" s="12" t="s">
        <v>19</v>
      </c>
      <c r="E9" s="12" t="s">
        <v>19</v>
      </c>
      <c r="F9" s="12" t="s">
        <v>18</v>
      </c>
      <c r="G9" s="34" t="s">
        <v>20</v>
      </c>
      <c r="H9" s="34" t="s">
        <v>20</v>
      </c>
      <c r="I9" s="35" t="s">
        <v>57</v>
      </c>
    </row>
    <row r="10" ht="24.95" customHeight="1" spans="1:9" x14ac:dyDescent="0.25">
      <c r="A10" s="32">
        <v>8</v>
      </c>
      <c r="B10" s="32" t="s">
        <v>21</v>
      </c>
      <c r="C10" s="33" t="s">
        <v>15</v>
      </c>
      <c r="D10" s="12">
        <v>1.5</v>
      </c>
      <c r="E10" s="12">
        <v>1.5</v>
      </c>
      <c r="F10" s="12">
        <v>2</v>
      </c>
      <c r="G10" s="34">
        <v>2.5</v>
      </c>
      <c r="H10" s="34">
        <v>2.5</v>
      </c>
      <c r="I10" s="35">
        <v>2</v>
      </c>
    </row>
    <row r="11" ht="24.95" customHeight="1" spans="1:9" x14ac:dyDescent="0.25">
      <c r="A11" s="32">
        <v>9</v>
      </c>
      <c r="B11" s="32" t="s">
        <v>21</v>
      </c>
      <c r="C11" s="33" t="s">
        <v>10</v>
      </c>
      <c r="D11" s="12">
        <v>11.58</v>
      </c>
      <c r="E11" s="12">
        <v>6.75</v>
      </c>
      <c r="F11" s="12">
        <v>20</v>
      </c>
      <c r="G11" s="34">
        <v>22</v>
      </c>
      <c r="H11" s="34">
        <v>22</v>
      </c>
      <c r="I11" s="36">
        <f>+I3*I10%</f>
        <v>45.480000000000004</v>
      </c>
    </row>
    <row r="12" ht="24.95" customHeight="1" spans="1:9" x14ac:dyDescent="0.25">
      <c r="A12" s="32">
        <v>10</v>
      </c>
      <c r="B12" s="32" t="s">
        <v>22</v>
      </c>
      <c r="C12" s="33" t="s">
        <v>23</v>
      </c>
      <c r="D12" s="12">
        <v>24</v>
      </c>
      <c r="E12" s="12">
        <v>24</v>
      </c>
      <c r="F12" s="12">
        <v>24</v>
      </c>
      <c r="G12" s="34">
        <v>30</v>
      </c>
      <c r="H12" s="34">
        <v>30</v>
      </c>
      <c r="I12" s="35">
        <v>18</v>
      </c>
    </row>
    <row r="13" ht="24.95" customHeight="1" spans="1:9" x14ac:dyDescent="0.25">
      <c r="A13" s="32">
        <v>11</v>
      </c>
      <c r="B13" s="32" t="s">
        <v>24</v>
      </c>
      <c r="C13" s="33" t="s">
        <v>25</v>
      </c>
      <c r="D13" s="12">
        <v>0</v>
      </c>
      <c r="E13" s="12">
        <v>0</v>
      </c>
      <c r="F13" s="12">
        <v>0</v>
      </c>
      <c r="G13" s="34">
        <v>0</v>
      </c>
      <c r="H13" s="34">
        <v>0</v>
      </c>
      <c r="I13" s="35">
        <v>0</v>
      </c>
    </row>
    <row r="14" ht="24.95" customHeight="1" spans="1:9" x14ac:dyDescent="0.25">
      <c r="A14" s="32">
        <v>12</v>
      </c>
      <c r="B14" s="32" t="s">
        <v>26</v>
      </c>
      <c r="C14" s="33" t="s">
        <v>15</v>
      </c>
      <c r="D14" s="12">
        <v>75</v>
      </c>
      <c r="E14" s="12">
        <v>80</v>
      </c>
      <c r="F14" s="12">
        <v>80</v>
      </c>
      <c r="G14" s="34">
        <v>85</v>
      </c>
      <c r="H14" s="34">
        <v>85</v>
      </c>
      <c r="I14" s="35">
        <v>90</v>
      </c>
    </row>
    <row r="15" ht="24.95" customHeight="1" spans="1:9" x14ac:dyDescent="0.25">
      <c r="A15" s="32">
        <v>13</v>
      </c>
      <c r="B15" s="32" t="s">
        <v>27</v>
      </c>
      <c r="C15" s="33" t="s">
        <v>15</v>
      </c>
      <c r="D15" s="12">
        <v>0.6</v>
      </c>
      <c r="E15" s="12">
        <v>0.5</v>
      </c>
      <c r="F15" s="12">
        <v>0.5</v>
      </c>
      <c r="G15" s="34">
        <v>2</v>
      </c>
      <c r="H15" s="34">
        <v>2</v>
      </c>
      <c r="I15" s="35">
        <v>2</v>
      </c>
    </row>
    <row r="16" ht="24.95" customHeight="1" spans="1:9" x14ac:dyDescent="0.25">
      <c r="A16" s="32">
        <v>14</v>
      </c>
      <c r="B16" s="32" t="s">
        <v>28</v>
      </c>
      <c r="C16" s="33" t="s">
        <v>15</v>
      </c>
      <c r="D16" s="12">
        <v>90</v>
      </c>
      <c r="E16" s="12">
        <v>92</v>
      </c>
      <c r="F16" s="12">
        <v>92</v>
      </c>
      <c r="G16" s="34">
        <v>92</v>
      </c>
      <c r="H16" s="34">
        <v>92</v>
      </c>
      <c r="I16" s="35">
        <v>95</v>
      </c>
    </row>
    <row r="17" ht="24.95" customHeight="1" spans="1:7" x14ac:dyDescent="0.25">
      <c r="A17" s="37"/>
      <c r="B17" s="38"/>
      <c r="C17" s="37"/>
      <c r="D17" s="10"/>
      <c r="E17" s="10"/>
      <c r="F17" s="10"/>
      <c r="G17" s="10"/>
    </row>
    <row r="18" ht="24.95" customHeight="1" spans="1:3" x14ac:dyDescent="0.25">
      <c r="A18" s="39" t="s">
        <v>29</v>
      </c>
      <c r="B18" s="40"/>
      <c r="C18" s="41"/>
    </row>
    <row r="19" ht="24.95" customHeight="1" spans="1:3" x14ac:dyDescent="0.25">
      <c r="A19" s="15"/>
      <c r="B19" s="42" t="s">
        <v>30</v>
      </c>
      <c r="C19" s="43" t="s">
        <v>150</v>
      </c>
    </row>
    <row r="20" ht="39.75" customHeight="1" spans="1:3" x14ac:dyDescent="0.25">
      <c r="A20" s="44">
        <v>1</v>
      </c>
      <c r="B20" s="19" t="s">
        <v>151</v>
      </c>
      <c r="C20" s="119" t="s">
        <v>152</v>
      </c>
    </row>
    <row r="21" ht="24.95" customHeight="1" spans="1:3" x14ac:dyDescent="0.25">
      <c r="A21" s="44">
        <v>2</v>
      </c>
      <c r="B21" s="19" t="s">
        <v>153</v>
      </c>
      <c r="C21" s="45" t="s">
        <v>154</v>
      </c>
    </row>
    <row r="22" ht="24.95" customHeight="1" spans="1:3" x14ac:dyDescent="0.25">
      <c r="A22" s="44">
        <v>3</v>
      </c>
      <c r="B22" s="47" t="s">
        <v>155</v>
      </c>
      <c r="C22" s="48" t="s">
        <v>156</v>
      </c>
    </row>
    <row r="23" ht="24.95" customHeight="1" spans="1:3" x14ac:dyDescent="0.25">
      <c r="A23" s="44">
        <v>4</v>
      </c>
      <c r="B23" s="47" t="s">
        <v>67</v>
      </c>
      <c r="C23" s="48" t="s">
        <v>157</v>
      </c>
    </row>
    <row r="24" ht="24.95" customHeight="1" spans="1:3" x14ac:dyDescent="0.25">
      <c r="A24" s="44">
        <v>5</v>
      </c>
      <c r="B24" s="19" t="s">
        <v>61</v>
      </c>
      <c r="C24" s="45" t="s">
        <v>154</v>
      </c>
    </row>
    <row r="25" ht="24.95" customHeight="1" spans="1:3" x14ac:dyDescent="0.25">
      <c r="A25" s="44">
        <v>6</v>
      </c>
      <c r="B25" s="47" t="s">
        <v>158</v>
      </c>
      <c r="C25" s="48" t="s">
        <v>159</v>
      </c>
    </row>
    <row r="26" ht="24.95" customHeight="1" spans="1:3" x14ac:dyDescent="0.25">
      <c r="A26" s="44">
        <v>7</v>
      </c>
      <c r="B26" s="22" t="s">
        <v>160</v>
      </c>
      <c r="C26" s="50" t="s">
        <v>161</v>
      </c>
    </row>
  </sheetData>
  <mergeCells count="2">
    <mergeCell ref="A1:I1"/>
    <mergeCell ref="A18:C1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Plan fy 19~20</vt:lpstr>
      <vt:lpstr>Sale plan</vt:lpstr>
      <vt:lpstr>Business plan 21~22</vt:lpstr>
      <vt:lpstr>Business plan</vt:lpstr>
      <vt:lpstr>Proposed Sale plan fy 22~23 </vt:lpstr>
      <vt:lpstr>Business plan 23~24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2025-07-24T04:51:47Z</dcterms:modified>
</cp:coreProperties>
</file>